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56345c40c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s" sheetId="1" r:id="R2704fa47d1ed49ad"/>
    <x:sheet xmlns:r="http://schemas.openxmlformats.org/officeDocument/2006/relationships" name="Resumen" sheetId="2" r:id="R846a4c20570d4b6b"/>
    <x:sheet xmlns:r="http://schemas.openxmlformats.org/officeDocument/2006/relationships" name="Criterios" sheetId="3" r:id="R3bbb5c15f52849ea"/>
    <x:sheet xmlns:r="http://schemas.openxmlformats.org/officeDocument/2006/relationships" name="Fuentes" sheetId="4" r:id="R510ba072379d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8EEF5"/>
      </x:patternFill>
    </x:fill>
  </x:fills>
  <x:borders count="3">
    <x:border/>
    <x:border>
      <x:left style="thin">
        <x:color rgb="FFC8D1DC"/>
      </x:left>
      <x:right style="thin">
        <x:color rgb="FFC8D1DC"/>
      </x:right>
      <x:top style="thin">
        <x:color rgb="FFC8D1DC"/>
      </x:top>
      <x:bottom style="thin">
        <x:color rgb="FFC8D1D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f14b01ace435d" /><Relationship Type="http://schemas.openxmlformats.org/officeDocument/2006/relationships/theme" Target="/xl/theme/theme1.xml" Id="R4d40b8c7b1b2439f" /><Relationship Type="http://schemas.openxmlformats.org/officeDocument/2006/relationships/sharedStrings" Target="/xl/sharedStrings.xml" Id="R609562acec004a77" /><Relationship Type="http://schemas.openxmlformats.org/officeDocument/2006/relationships/worksheet" Target="/xl/worksheets/sheet1.xml" Id="R2704fa47d1ed49ad" /><Relationship Type="http://schemas.openxmlformats.org/officeDocument/2006/relationships/worksheet" Target="/xl/worksheets/sheet2.xml" Id="R846a4c20570d4b6b" /><Relationship Type="http://schemas.openxmlformats.org/officeDocument/2006/relationships/worksheet" Target="/xl/worksheets/sheet3.xml" Id="R3bbb5c15f52849ea" /><Relationship Type="http://schemas.openxmlformats.org/officeDocument/2006/relationships/worksheet" Target="/xl/worksheets/sheet4.xml" Id="R510ba072379d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46" hidden="0" customWidth="1"/>
  </x:cols>
  <x:sheetData>
    <x:row r="1">
      <x:c r="A1" s="13" t="str">
        <x:v>Matriz de Análisis de Riesgos - Sistema de Ventas</x:v>
      </x:c>
      <x:c r="B1" s="14"/>
      <x:c r="C1" s="14"/>
      <x:c r="D1" s="14"/>
      <x:c r="E1" s="14"/>
      <x:c r="F1" s="14"/>
      <x:c r="G1" s="14"/>
      <x:c r="H1" s="14"/>
    </x:row>
    <x:row r="3">
      <x:c r="A3" s="7" t="str">
        <x:v>Activo</x:v>
      </x:c>
      <x:c r="B3" s="7" t="str">
        <x:v>Amenaza</x:v>
      </x:c>
      <x:c r="C3" s="7" t="str">
        <x:v>Vulnerabilidad</x:v>
      </x:c>
      <x:c r="D3" s="7" t="str">
        <x:v>Impacto</x:v>
      </x:c>
      <x:c r="E3" s="7" t="str">
        <x:v>Probabilidad</x:v>
      </x:c>
      <x:c r="F3" s="7" t="str">
        <x:v>Puntaje</x:v>
      </x:c>
      <x:c r="G3" s="7" t="str">
        <x:v>Nivel</x:v>
      </x:c>
      <x:c r="H3" s="7" t="str">
        <x:v>Control recomendado</x:v>
      </x:c>
    </x:row>
    <x:row r="4">
      <x:c r="A4" s="10" t="str">
        <x:v>Sistema web</x:v>
      </x:c>
      <x:c r="B4" s="10" t="str">
        <x:v>Acceso no autorizado</x:v>
      </x:c>
      <x:c r="C4" s="10" t="str">
        <x:v>Credenciales débiles y contraseñas predecibles</x:v>
      </x:c>
      <x:c r="D4" s="12" t="n">
        <x:v>5</x:v>
      </x:c>
      <x:c r="E4" s="12" t="n">
        <x:v>5</x:v>
      </x:c>
      <x:c r="F4" s="12" t="n">
        <x:f>D4*E4</x:f>
        <x:v>25</x:v>
      </x:c>
      <x:c r="G4" s="10" t="str">
        <x:v>Crítico</x:v>
      </x:c>
      <x:c r="H4" s="10" t="str">
        <x:v>Política de contraseñas, bloqueo por intentos fallidos y revisión de usuarios.</x:v>
      </x:c>
    </x:row>
    <x:row r="5">
      <x:c r="A5" s="10" t="str">
        <x:v>Sistema web</x:v>
      </x:c>
      <x:c r="B5" s="10" t="str">
        <x:v>Ingreso sin autenticación válida</x:v>
      </x:c>
      <x:c r="C5" s="10" t="str">
        <x:v>SQL Injection en formulario de login</x:v>
      </x:c>
      <x:c r="D5" s="12" t="n">
        <x:v>5</x:v>
      </x:c>
      <x:c r="E5" s="12" t="n">
        <x:v>3</x:v>
      </x:c>
      <x:c r="F5" s="12" t="n">
        <x:f>D5*E5</x:f>
        <x:v>15</x:v>
      </x:c>
      <x:c r="G5" s="10" t="str">
        <x:v>Alto</x:v>
      </x:c>
      <x:c r="H5" s="10" t="str">
        <x:v>Consultas parametrizadas, validación de entradas y pruebas de seguridad.</x:v>
      </x:c>
    </x:row>
    <x:row r="6">
      <x:c r="A6" s="10" t="str">
        <x:v>Sistema web</x:v>
      </x:c>
      <x:c r="B6" s="10" t="str">
        <x:v>Robo de sesión o ejecución de scripts</x:v>
      </x:c>
      <x:c r="C6" s="10" t="str">
        <x:v>XSS reflejado en búsqueda</x:v>
      </x:c>
      <x:c r="D6" s="12" t="n">
        <x:v>3</x:v>
      </x:c>
      <x:c r="E6" s="12" t="n">
        <x:v>3</x:v>
      </x:c>
      <x:c r="F6" s="12" t="n">
        <x:f>D6*E6</x:f>
        <x:v>9</x:v>
      </x:c>
      <x:c r="G6" s="10" t="str">
        <x:v>Medio</x:v>
      </x:c>
      <x:c r="H6" s="10" t="str">
        <x:v>Escapar salidas HTML, sanitizar entradas y aplicar Content Security Policy.</x:v>
      </x:c>
    </x:row>
    <x:row r="7">
      <x:c r="A7" s="10" t="str">
        <x:v>Sistema web</x:v>
      </x:c>
      <x:c r="B7" s="10" t="str">
        <x:v>Ejecución persistente de JavaScript</x:v>
      </x:c>
      <x:c r="C7" s="10" t="str">
        <x:v>XSS almacenado en descripción de productos</x:v>
      </x:c>
      <x:c r="D7" s="12" t="n">
        <x:v>5</x:v>
      </x:c>
      <x:c r="E7" s="12" t="n">
        <x:v>3</x:v>
      </x:c>
      <x:c r="F7" s="12" t="n">
        <x:f>D7*E7</x:f>
        <x:v>15</x:v>
      </x:c>
      <x:c r="G7" s="10" t="str">
        <x:v>Alto</x:v>
      </x:c>
      <x:c r="H7" s="10" t="str">
        <x:v>No usar contenido del usuario como HTML seguro; sanitizar y validar campos.</x:v>
      </x:c>
    </x:row>
    <x:row r="8">
      <x:c r="A8" s="10" t="str">
        <x:v>Base de datos</x:v>
      </x:c>
      <x:c r="B8" s="10" t="str">
        <x:v>Exposición de credenciales</x:v>
      </x:c>
      <x:c r="C8" s="10" t="str">
        <x:v>Contraseñas almacenadas en texto plano</x:v>
      </x:c>
      <x:c r="D8" s="12" t="n">
        <x:v>5</x:v>
      </x:c>
      <x:c r="E8" s="12" t="n">
        <x:v>3</x:v>
      </x:c>
      <x:c r="F8" s="12" t="n">
        <x:f>D8*E8</x:f>
        <x:v>15</x:v>
      </x:c>
      <x:c r="G8" s="10" t="str">
        <x:v>Alto</x:v>
      </x:c>
      <x:c r="H8" s="10" t="str">
        <x:v>Hash seguro con bcrypt o argon2 y sal única por usuario.</x:v>
      </x:c>
    </x:row>
    <x:row r="9">
      <x:c r="A9" s="10" t="str">
        <x:v>Servidor Fedora</x:v>
      </x:c>
      <x:c r="B9" s="10" t="str">
        <x:v>Enumeración de servicios</x:v>
      </x:c>
      <x:c r="C9" s="10" t="str">
        <x:v>Puerto 5000 expuesto durante el laboratorio</x:v>
      </x:c>
      <x:c r="D9" s="12" t="n">
        <x:v>3</x:v>
      </x:c>
      <x:c r="E9" s="12" t="n">
        <x:v>5</x:v>
      </x:c>
      <x:c r="F9" s="12" t="n">
        <x:f>D9*E9</x:f>
        <x:v>15</x:v>
      </x:c>
      <x:c r="G9" s="10" t="str">
        <x:v>Alto</x:v>
      </x:c>
      <x:c r="H9" s="10" t="str">
        <x:v>Firewall, apertura temporal del puerto y cierre al finalizar la presentación.</x:v>
      </x:c>
    </x:row>
    <x:row r="10">
      <x:c r="A10" s="10" t="str">
        <x:v>Servidor Fedora</x:v>
      </x:c>
      <x:c r="B10" s="10" t="str">
        <x:v>Resolución de nombres innecesaria</x:v>
      </x:c>
      <x:c r="C10" s="10" t="str">
        <x:v>Puerto 5355/LLMNR abierto</x:v>
      </x:c>
      <x:c r="D10" s="12" t="n">
        <x:v>3</x:v>
      </x:c>
      <x:c r="E10" s="12" t="n">
        <x:v>3</x:v>
      </x:c>
      <x:c r="F10" s="12" t="n">
        <x:f>D10*E10</x:f>
        <x:v>9</x:v>
      </x:c>
      <x:c r="G10" s="10" t="str">
        <x:v>Medio</x:v>
      </x:c>
      <x:c r="H10" s="10" t="str">
        <x:v>Deshabilitar LLMNR si no es requerido para el laboratorio.</x:v>
      </x:c>
    </x:row>
    <x:row r="11">
      <x:c r="A11" s="10" t="str">
        <x:v>Aplicación Flask</x:v>
      </x:c>
      <x:c r="B11" s="10" t="str">
        <x:v>Exposición de información técnica</x:v>
      </x:c>
      <x:c r="C11" s="10" t="str">
        <x:v>Modo debug activo</x:v>
      </x:c>
      <x:c r="D11" s="12" t="n">
        <x:v>5</x:v>
      </x:c>
      <x:c r="E11" s="12" t="n">
        <x:v>3</x:v>
      </x:c>
      <x:c r="F11" s="12" t="n">
        <x:f>D11*E11</x:f>
        <x:v>15</x:v>
      </x:c>
      <x:c r="G11" s="10" t="str">
        <x:v>Alto</x:v>
      </x:c>
      <x:c r="H11" s="10" t="str">
        <x:v>Desactivar debug fuera del laboratorio y usar servidor WSGI para producción.</x:v>
      </x:c>
    </x:row>
    <x:row r="12">
      <x:c r="A12" s="10" t="str">
        <x:v>Aplicación Flask</x:v>
      </x:c>
      <x:c r="B12" s="10" t="str">
        <x:v>Uso de servidor no productivo</x:v>
      </x:c>
      <x:c r="C12" s="10" t="str">
        <x:v>Werkzeug Development Server expuesto</x:v>
      </x:c>
      <x:c r="D12" s="12" t="n">
        <x:v>3</x:v>
      </x:c>
      <x:c r="E12" s="12" t="n">
        <x:v>5</x:v>
      </x:c>
      <x:c r="F12" s="12" t="n">
        <x:f>D12*E12</x:f>
        <x:v>15</x:v>
      </x:c>
      <x:c r="G12" s="10" t="str">
        <x:v>Alto</x:v>
      </x:c>
      <x:c r="H12" s="10" t="str">
        <x:v>Usar Gunicorn/uWSGI detrás de Nginx o Apache en entornos reales.</x:v>
      </x:c>
    </x:row>
    <x:row r="13">
      <x:c r="A13" s="10" t="str">
        <x:v>Servidor Fedora</x:v>
      </x:c>
      <x:c r="B13" s="10" t="str">
        <x:v>Divulgación de información temporal</x:v>
      </x:c>
      <x:c r="C13" s="10" t="str">
        <x:v>ICMP Timestamp Request habilitado</x:v>
      </x:c>
      <x:c r="D13" s="12" t="n">
        <x:v>2</x:v>
      </x:c>
      <x:c r="E13" s="12" t="n">
        <x:v>3</x:v>
      </x:c>
      <x:c r="F13" s="12" t="n">
        <x:f>D13*E13</x:f>
        <x:v>6</x:v>
      </x:c>
      <x:c r="G13" s="10" t="str">
        <x:v>Bajo</x:v>
      </x:c>
      <x:c r="H13" s="10" t="str">
        <x:v>Filtrar o deshabilitar respuestas ICMP timestamp si no son necesarias.</x:v>
      </x:c>
    </x:row>
    <x:row r="14">
      <x:c r="A14" s="10" t="str">
        <x:v>Sistema web</x:v>
      </x:c>
      <x:c r="B14" s="10" t="str">
        <x:v>Debilidad en manejo de sesión</x:v>
      </x:c>
      <x:c r="C14" s="10" t="str">
        <x:v>Cookies expiradas o sin endurecimiento suficiente</x:v>
      </x:c>
      <x:c r="D14" s="12" t="n">
        <x:v>3</x:v>
      </x:c>
      <x:c r="E14" s="12" t="n">
        <x:v>3</x:v>
      </x:c>
      <x:c r="F14" s="12" t="n">
        <x:f>D14*E14</x:f>
        <x:v>9</x:v>
      </x:c>
      <x:c r="G14" s="10" t="str">
        <x:v>Medio</x:v>
      </x:c>
      <x:c r="H14" s="10" t="str">
        <x:v>Configurar atributos Secure, HttpOnly, SameSite y expiración adecuada.</x:v>
      </x:c>
    </x:row>
    <x:row r="15">
      <x:c r="A15" s="10" t="str">
        <x:v>Sistema web</x:v>
      </x:c>
      <x:c r="B15" s="10" t="str">
        <x:v>Acciones no autorizadas</x:v>
      </x:c>
      <x:c r="C15" s="10" t="str">
        <x:v>Formularios sin token CSRF</x:v>
      </x:c>
      <x:c r="D15" s="12" t="n">
        <x:v>3</x:v>
      </x:c>
      <x:c r="E15" s="12" t="n">
        <x:v>3</x:v>
      </x:c>
      <x:c r="F15" s="12" t="n">
        <x:f>D15*E15</x:f>
        <x:v>9</x:v>
      </x:c>
      <x:c r="G15" s="10" t="str">
        <x:v>Medio</x:v>
      </x:c>
      <x:c r="H15" s="10" t="str">
        <x:v>Implementar CSRF tokens en formularios y validar origen de solicitudes.</x:v>
      </x:c>
    </x:row>
    <x:row r="16">
      <x:c r="A16" s="10" t="str">
        <x:v>Servidor Fedora</x:v>
      </x:c>
      <x:c r="B16" s="10" t="str">
        <x:v>Uso indebido de privilegios</x:v>
      </x:c>
      <x:c r="C16" s="10" t="str">
        <x:v>Usuarios o servicios con permisos excesivos</x:v>
      </x:c>
      <x:c r="D16" s="12" t="n">
        <x:v>5</x:v>
      </x:c>
      <x:c r="E16" s="12" t="n">
        <x:v>3</x:v>
      </x:c>
      <x:c r="F16" s="12" t="n">
        <x:f>D16*E16</x:f>
        <x:v>15</x:v>
      </x:c>
      <x:c r="G16" s="10" t="str">
        <x:v>Alto</x:v>
      </x:c>
      <x:c r="H16" s="10" t="str">
        <x:v>Principio de mínimo privilegio y cuentas separadas para administración.</x:v>
      </x:c>
    </x:row>
    <x:row r="17">
      <x:c r="A17" s="10" t="str">
        <x:v>Sistema web y servidor</x:v>
      </x:c>
      <x:c r="B17" s="10" t="str">
        <x:v>Pérdida de disponibilidad</x:v>
      </x:c>
      <x:c r="C17" s="10" t="str">
        <x:v>Ausencia de procedimiento de respaldo</x:v>
      </x:c>
      <x:c r="D17" s="12" t="n">
        <x:v>5</x:v>
      </x:c>
      <x:c r="E17" s="12" t="n">
        <x:v>2</x:v>
      </x:c>
      <x:c r="F17" s="12" t="n">
        <x:f>D17*E17</x:f>
        <x:v>10</x:v>
      </x:c>
      <x:c r="G17" s="10" t="str">
        <x:v>Medio</x:v>
      </x:c>
      <x:c r="H17" s="10" t="str">
        <x:v>Copias periódicas de la base SQLite y del código fuente versionado.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32" hidden="0" customWidth="1"/>
  </x:cols>
  <x:sheetData>
    <x:row r="1">
      <x:c r="A1" s="13" t="str">
        <x:v>Resumen de Riesgos</x:v>
      </x:c>
      <x:c r="B1" s="14"/>
      <x:c r="C1" s="14"/>
      <x:c r="D1" s="14"/>
    </x:row>
    <x:row r="3">
      <x:c r="A3" s="6" t="str">
        <x:v>Nivel</x:v>
      </x:c>
      <x:c r="B3" s="6" t="str">
        <x:v>Cantidad</x:v>
      </x:c>
      <x:c r="C3" s="6" t="str">
        <x:v>Interpretación</x:v>
      </x:c>
      <x:c r="D3" s="6" t="str">
        <x:v>Acción sugerida</x:v>
      </x:c>
    </x:row>
    <x:row r="4">
      <x:c r="A4" s="9" t="str">
        <x:v>Crítico</x:v>
      </x:c>
      <x:c r="B4" s="9" t="n">
        <x:f>COUNTIF('Matriz de Riesgos'!G4:G17,A4)</x:f>
        <x:v>1</x:v>
      </x:c>
      <x:c r="C4" s="9" t="str">
        <x:v>Requiere atención inmediata</x:v>
      </x:c>
      <x:c r="D4" s="9" t="str">
        <x:v>Corregir antes de exponer el sistema.</x:v>
      </x:c>
    </x:row>
    <x:row r="5">
      <x:c r="A5" s="9" t="str">
        <x:v>Alto</x:v>
      </x:c>
      <x:c r="B5" s="9" t="n">
        <x:f>COUNTIF('Matriz de Riesgos'!G4:G17,A5)</x:f>
        <x:v>7</x:v>
      </x:c>
      <x:c r="C5" s="9" t="str">
        <x:v>Riesgo importante</x:v>
      </x:c>
      <x:c r="D5" s="9" t="str">
        <x:v>Planificar mitigación prioritaria.</x:v>
      </x:c>
    </x:row>
    <x:row r="6">
      <x:c r="A6" s="9" t="str">
        <x:v>Medio</x:v>
      </x:c>
      <x:c r="B6" s="9" t="n">
        <x:f>COUNTIF('Matriz de Riesgos'!G4:G17,A6)</x:f>
        <x:v>5</x:v>
      </x:c>
      <x:c r="C6" s="9" t="str">
        <x:v>Riesgo controlable</x:v>
      </x:c>
      <x:c r="D6" s="9" t="str">
        <x:v>Aplicar controles y monitorear.</x:v>
      </x:c>
    </x:row>
    <x:row r="7">
      <x:c r="A7" s="9" t="str">
        <x:v>Bajo</x:v>
      </x:c>
      <x:c r="B7" s="9" t="n">
        <x:f>COUNTIF('Matriz de Riesgos'!G4:G17,A7)</x:f>
        <x:v>1</x:v>
      </x:c>
      <x:c r="C7" s="9" t="str">
        <x:v>Riesgo aceptable</x:v>
      </x:c>
      <x:c r="D7" s="9" t="str">
        <x:v>Mantener seguimiento.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48" hidden="0" customWidth="1"/>
  </x:cols>
  <x:sheetData>
    <x:row r="1">
      <x:c r="A1" s="13" t="str">
        <x:v>Criterios usados para impacto y probabilidad</x:v>
      </x:c>
      <x:c r="B1" s="14"/>
      <x:c r="C1" s="14"/>
    </x:row>
    <x:row r="3">
      <x:c r="A3" s="6" t="str">
        <x:v>Valor</x:v>
      </x:c>
      <x:c r="B3" s="6" t="str">
        <x:v>Impacto</x:v>
      </x:c>
      <x:c r="C3" s="6" t="str">
        <x:v>Probabilidad</x:v>
      </x:c>
    </x:row>
    <x:row r="4">
      <x:c r="A4" s="10" t="n">
        <x:v>1</x:v>
      </x:c>
      <x:c r="B4" s="10" t="str">
        <x:v>Impacto muy bajo: efecto menor o fácilmente recuperable.</x:v>
      </x:c>
      <x:c r="C4" s="10" t="str">
        <x:v>Muy improbable: requiere condiciones poco realistas.</x:v>
      </x:c>
    </x:row>
    <x:row r="5">
      <x:c r="A5" s="10" t="n">
        <x:v>2</x:v>
      </x:c>
      <x:c r="B5" s="10" t="str">
        <x:v>Impacto bajo: afecta parcialmente una función.</x:v>
      </x:c>
      <x:c r="C5" s="10" t="str">
        <x:v>Poco probable: podría ocurrir, pero no es habitual.</x:v>
      </x:c>
    </x:row>
    <x:row r="6">
      <x:c r="A6" s="10" t="n">
        <x:v>3</x:v>
      </x:c>
      <x:c r="B6" s="10" t="str">
        <x:v>Impacto medio: afecta datos o disponibilidad de forma limitada.</x:v>
      </x:c>
      <x:c r="C6" s="10" t="str">
        <x:v>Probable: puede ocurrir durante el uso normal o con pruebas básicas.</x:v>
      </x:c>
    </x:row>
    <x:row r="7">
      <x:c r="A7" s="10" t="n">
        <x:v>4</x:v>
      </x:c>
      <x:c r="B7" s="10" t="str">
        <x:v>Impacto alto: compromete funciones importantes del sistema.</x:v>
      </x:c>
      <x:c r="C7" s="10" t="str">
        <x:v>Muy probable: puede repetirse con facilidad.</x:v>
      </x:c>
    </x:row>
    <x:row r="8">
      <x:c r="A8" s="10" t="n">
        <x:v>5</x:v>
      </x:c>
      <x:c r="B8" s="10" t="str">
        <x:v>Impacto crítico: compromete acceso, datos sensibles o continuidad.</x:v>
      </x:c>
      <x:c r="C8" s="10" t="str">
        <x:v>Casi seguro: se explota con pasos simples o credenciales conocidas.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</x:cols>
  <x:sheetData>
    <x:row r="1">
      <x:c r="A1" s="6" t="str">
        <x:v>Fuente</x:v>
      </x:c>
      <x:c r="B1" s="6" t="str">
        <x:v>URL</x:v>
      </x:c>
    </x:row>
    <x:row r="2">
      <x:c r="A2" s="9" t="str">
        <x:v>OWASP Top 10</x:v>
      </x:c>
      <x:c r="B2" s="9" t="str">
        <x:v>https://owasp.org/Top10/2021/</x:v>
      </x:c>
    </x:row>
    <x:row r="3">
      <x:c r="A3" s="9" t="str">
        <x:v>OWASP Password Storage Cheat Sheet</x:v>
      </x:c>
      <x:c r="B3" s="9" t="str">
        <x:v>https://cheatsheetseries.owasp.org/cheatsheets/Password_Storage_Cheat_Sheet.html</x:v>
      </x:c>
    </x:row>
    <x:row r="4">
      <x:c r="A4" s="9" t="str">
        <x:v>NIST SP 800-63B</x:v>
      </x:c>
      <x:c r="B4" s="9" t="str">
        <x:v>https://csrc.nist.gov/pubs/sp/800/63/b/upd2/final</x:v>
      </x:c>
    </x:row>
    <x:row r="5">
      <x:c r="A5" s="9" t="str">
        <x:v>Nmap Reference Guide</x:v>
      </x:c>
      <x:c r="B5" s="9" t="str">
        <x:v>https://nmap.org/book/man.html</x:v>
      </x:c>
    </x:row>
    <x:row r="6">
      <x:c r="A6" s="9" t="str">
        <x:v>Tenable Nessus Documentation</x:v>
      </x:c>
      <x:c r="B6" s="9" t="str">
        <x:v>https://docs.tenable.com/Nessus.htm</x:v>
      </x:c>
    </x:row>
    <x:row r="7">
      <x:c r="A7" s="9" t="str">
        <x:v>Fedora Server Documentation</x:v>
      </x:c>
      <x:c r="B7" s="9" t="str">
        <x:v>https://docs.fedoraproject.org/en-US/fedora-server/</x:v>
      </x:c>
    </x:row>
    <x:row r="8">
      <x:c r="A8" s="9" t="str">
        <x:v>Flask Deployment Documentation</x:v>
      </x:c>
      <x:c r="B8" s="9" t="str">
        <x:v>https://flask.palletsprojects.com/en/stable/deploying/</x:v>
      </x:c>
    </x:row>
    <x:row r="9">
      <x:c r="A9" s="9" t="str">
        <x:v>SQLite Appropriate Uses</x:v>
      </x:c>
      <x:c r="B9" s="9" t="str">
        <x:v>https://sqlite.org/whentouse.html</x:v>
      </x:c>
    </x:row>
  </x:sheetData>
  <x:pageMargins left="0.7" right="0.7" top="0.75" bottom="0.75" header="0.3" footer="0.3"/>
</x:worksheet>
</file>